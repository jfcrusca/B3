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Categoria</t>
        </is>
      </c>
      <c r="C1" s="1" t="inlineStr">
        <is>
          <t>Linhas</t>
        </is>
      </c>
      <c r="D1" s="1" t="inlineStr">
        <is>
          <t>Funções</t>
        </is>
      </c>
      <c r="E1" s="1" t="inlineStr">
        <is>
          <t>Complexidade</t>
        </is>
      </c>
      <c r="F1" s="1" t="inlineStr">
        <is>
          <t>TODOs</t>
        </is>
      </c>
      <c r="G1" s="1" t="inlineStr">
        <is>
          <t>Serviços Google</t>
        </is>
      </c>
      <c r="H1" s="1" t="inlineStr">
        <is>
          <t>Resumo</t>
        </is>
      </c>
    </row>
    <row r="2">
      <c r="A2" t="inlineStr">
        <is>
          <t>00_Core_Orchestrator.js</t>
        </is>
      </c>
      <c r="B2" t="inlineStr">
        <is>
          <t>core_orchestration</t>
        </is>
      </c>
      <c r="C2" t="n">
        <v>370</v>
      </c>
      <c r="D2" t="n">
        <v>3</v>
      </c>
      <c r="E2" t="n">
        <v>72</v>
      </c>
      <c r="F2" t="n">
        <v>0</v>
      </c>
      <c r="G2" t="inlineStr"/>
      <c r="H2" t="inlineStr">
        <is>
          <t>Módulo com 3 funções: executarRoboB3, isDebugModeEnabled, FORCAR_EXECUCAO...</t>
        </is>
      </c>
    </row>
    <row r="3">
      <c r="A3" t="inlineStr">
        <is>
          <t>00_Debug_Ensemble_Tests.js</t>
        </is>
      </c>
      <c r="B3" t="inlineStr">
        <is>
          <t>core_orchestration</t>
        </is>
      </c>
      <c r="C3" t="n">
        <v>169</v>
      </c>
      <c r="D3" t="n">
        <v>8</v>
      </c>
      <c r="E3" t="n">
        <v>13</v>
      </c>
      <c r="F3" t="n">
        <v>0</v>
      </c>
      <c r="G3" t="inlineStr"/>
      <c r="H3" t="inlineStr">
        <is>
          <t>Teste 1: Verificar se IAs estão respondendo básico Execute: teste_ai_basico()</t>
        </is>
      </c>
    </row>
    <row r="4">
      <c r="A4" t="inlineStr">
        <is>
          <t>00_Logger_Compat.js</t>
        </is>
      </c>
      <c r="B4" t="inlineStr">
        <is>
          <t>core_orchestration</t>
        </is>
      </c>
      <c r="C4" t="n">
        <v>38</v>
      </c>
      <c r="D4" t="n">
        <v>0</v>
      </c>
      <c r="E4" t="n">
        <v>11</v>
      </c>
      <c r="F4" t="n">
        <v>0</v>
      </c>
      <c r="G4" t="inlineStr"/>
      <c r="H4" t="inlineStr">
        <is>
          <t>Sem descrição detectada.</t>
        </is>
      </c>
    </row>
    <row r="5">
      <c r="A5" t="inlineStr">
        <is>
          <t>00_Menu_Manager.js</t>
        </is>
      </c>
      <c r="B5" t="inlineStr">
        <is>
          <t>core_orchestration</t>
        </is>
      </c>
      <c r="C5" t="n">
        <v>185</v>
      </c>
      <c r="D5" t="n">
        <v>14</v>
      </c>
      <c r="E5" t="n">
        <v>21</v>
      </c>
      <c r="F5" t="n">
        <v>0</v>
      </c>
      <c r="G5" t="inlineStr">
        <is>
          <t>SpreadsheetApp</t>
        </is>
      </c>
      <c r="H5">
        <f>============================================================================ 00_Menu_Manager.gs — v14.0 (TRÍADE DE COMANDO - ELITE) ===================================================================</f>
        <v/>
      </c>
    </row>
    <row r="6">
      <c r="A6" t="inlineStr">
        <is>
          <t>00_Pipeline_Adapter.js</t>
        </is>
      </c>
      <c r="B6" t="inlineStr">
        <is>
          <t>core_orchestration</t>
        </is>
      </c>
      <c r="C6" t="n">
        <v>172</v>
      </c>
      <c r="D6" t="n">
        <v>4</v>
      </c>
      <c r="E6" t="n">
        <v>27</v>
      </c>
      <c r="F6" t="n">
        <v>0</v>
      </c>
      <c r="G6" t="inlineStr"/>
      <c r="H6">
        <f>============================================================================ 00_Pipeline_Adapter.gs (Versão Blindada V10.1 - COM CONTEXTO IBOV) =======================================================</f>
        <v/>
      </c>
    </row>
    <row r="7">
      <c r="A7" t="inlineStr">
        <is>
          <t>00_Security_Utils.js</t>
        </is>
      </c>
      <c r="B7" t="inlineStr">
        <is>
          <t>core_orchestration</t>
        </is>
      </c>
      <c r="C7" t="n">
        <v>53</v>
      </c>
      <c r="D7" t="n">
        <v>4</v>
      </c>
      <c r="E7" t="n">
        <v>5</v>
      </c>
      <c r="F7" t="n">
        <v>0</v>
      </c>
      <c r="G7" t="inlineStr"/>
      <c r="H7" t="inlineStr">
        <is>
          <t>00_Security_Utils.js — Utilitários de segurança compartilhados</t>
        </is>
      </c>
    </row>
    <row r="8">
      <c r="A8" t="inlineStr">
        <is>
          <t>00_Setup_CreateSheets.js</t>
        </is>
      </c>
      <c r="B8" t="inlineStr">
        <is>
          <t>core_orchestration</t>
        </is>
      </c>
      <c r="C8" t="n">
        <v>186</v>
      </c>
      <c r="D8" t="n">
        <v>17</v>
      </c>
      <c r="E8" t="n">
        <v>7</v>
      </c>
      <c r="F8" t="n">
        <v>0</v>
      </c>
      <c r="G8" t="inlineStr">
        <is>
          <t>SpreadsheetApp</t>
        </is>
      </c>
      <c r="H8" t="inlineStr">
        <is>
          <t>00_Setup_CreateSheets.gs — KIT DE RESGATE (V4 - Completo) ============================================================================= Recria a estrutura de TODAS as abas, incluindo as que sumiram. N</t>
        </is>
      </c>
    </row>
    <row r="9">
      <c r="A9" t="inlineStr">
        <is>
          <t>00_Tools.js</t>
        </is>
      </c>
      <c r="B9" t="inlineStr">
        <is>
          <t>core_orchestration</t>
        </is>
      </c>
      <c r="C9" t="n">
        <v>213</v>
      </c>
      <c r="D9" t="n">
        <v>7</v>
      </c>
      <c r="E9" t="n">
        <v>18</v>
      </c>
      <c r="F9" t="n">
        <v>0</v>
      </c>
      <c r="G9" t="inlineStr">
        <is>
          <t>SpreadsheetApp, CacheService</t>
        </is>
      </c>
      <c r="H9" t="inlineStr">
        <is>
          <t>Módulo com 7 funções: clearLogs, runDiagnostics, monitorarRateLimits...</t>
        </is>
      </c>
    </row>
    <row r="10">
      <c r="A10" t="inlineStr">
        <is>
          <t>00_Utils.js</t>
        </is>
      </c>
      <c r="B10" t="inlineStr">
        <is>
          <t>core_orchestration</t>
        </is>
      </c>
      <c r="C10" t="n">
        <v>182</v>
      </c>
      <c r="D10" t="n">
        <v>8</v>
      </c>
      <c r="E10" t="n">
        <v>37</v>
      </c>
      <c r="F10" t="n">
        <v>0</v>
      </c>
      <c r="G10" t="inlineStr">
        <is>
          <t>SpreadsheetApp</t>
        </is>
      </c>
      <c r="H10" t="inlineStr">
        <is>
          <t>00_Utils.gs - Funções Globais de Suporte Resolve os erros: parseNumberBR_, formatBRL_ e diagnosticarResumo</t>
        </is>
      </c>
    </row>
    <row r="11">
      <c r="A11" t="inlineStr">
        <is>
          <t>01_Core_Config.js</t>
        </is>
      </c>
      <c r="B11" t="inlineStr">
        <is>
          <t>core_orchestration</t>
        </is>
      </c>
      <c r="C11" t="n">
        <v>200</v>
      </c>
      <c r="D11" t="n">
        <v>7</v>
      </c>
      <c r="E11" t="n">
        <v>37</v>
      </c>
      <c r="F11" t="n">
        <v>0</v>
      </c>
      <c r="G11" t="inlineStr">
        <is>
          <t>SpreadsheetApp</t>
        </is>
      </c>
      <c r="H11">
        <f>============================================================================ 01_Core_Config.gs   GESTOR UNIFICADO DE CONFIGURAÇÕES B3-v10 =============================================================</f>
        <v/>
      </c>
    </row>
    <row r="12">
      <c r="A12" t="inlineStr">
        <is>
          <t>02_Core_Logger.js</t>
        </is>
      </c>
      <c r="B12" t="inlineStr">
        <is>
          <t>core_orchestration</t>
        </is>
      </c>
      <c r="C12" t="n">
        <v>54</v>
      </c>
      <c r="D12" t="n">
        <v>6</v>
      </c>
      <c r="E12" t="n">
        <v>7</v>
      </c>
      <c r="F12" t="n">
        <v>0</v>
      </c>
      <c r="G12" t="inlineStr">
        <is>
          <t>SpreadsheetApp</t>
        </is>
      </c>
      <c r="H12" t="inlineStr">
        <is>
          <t>Módulo com 6 funções: _addBuffer, info, warn...</t>
        </is>
      </c>
    </row>
    <row r="13">
      <c r="A13" t="inlineStr">
        <is>
          <t>03_Cache_Unified.js</t>
        </is>
      </c>
      <c r="B13" t="inlineStr">
        <is>
          <t>utils</t>
        </is>
      </c>
      <c r="C13" t="n">
        <v>102</v>
      </c>
      <c r="D13" t="n">
        <v>2</v>
      </c>
      <c r="E13" t="n">
        <v>3</v>
      </c>
      <c r="F13" t="n">
        <v>0</v>
      </c>
      <c r="G13" t="inlineStr">
        <is>
          <t>SpreadsheetApp, CacheService</t>
        </is>
      </c>
      <c r="H13" t="inlineStr">
        <is>
          <t>03_Cache_Unified.gs — V3.1 (MODULAR &amp; SLIM) ============================================================================= Finalidade: Gestão centralizada de cache para evitar excesso de chamadas de AP</t>
        </is>
      </c>
    </row>
    <row r="14">
      <c r="A14" t="inlineStr">
        <is>
          <t>04_Core_RateLimiter.js</t>
        </is>
      </c>
      <c r="B14" t="inlineStr">
        <is>
          <t>core_orchestration</t>
        </is>
      </c>
      <c r="C14" t="n">
        <v>70</v>
      </c>
      <c r="D14" t="n">
        <v>0</v>
      </c>
      <c r="E14" t="n">
        <v>7</v>
      </c>
      <c r="F14" t="n">
        <v>0</v>
      </c>
      <c r="G14" t="inlineStr">
        <is>
          <t>CacheService</t>
        </is>
      </c>
      <c r="H14" t="inlineStr">
        <is>
          <t>// ===== 04_Core_RateLimiter.gs ===== // Gestor de Limites de API (Anti-Bloqueio e Controlo de Custos)</t>
        </is>
      </c>
    </row>
    <row r="15">
      <c r="A15" t="inlineStr">
        <is>
          <t>05_B3V10_TickerManager.js</t>
        </is>
      </c>
      <c r="B15" t="inlineStr">
        <is>
          <t>data_management</t>
        </is>
      </c>
      <c r="C15" t="n">
        <v>56</v>
      </c>
      <c r="D15" t="n">
        <v>0</v>
      </c>
      <c r="E15" t="n">
        <v>2</v>
      </c>
      <c r="F15" t="n">
        <v>0</v>
      </c>
      <c r="G15" t="inlineStr"/>
      <c r="H15">
        <f>============================================================================ 05_B3V10_TickerManager.gs — GESTOR CENTRALIZADO DE ATIVOS (FUSÃO ELITE 2026) =============================================</f>
        <v/>
      </c>
    </row>
    <row r="16">
      <c r="A16" t="inlineStr">
        <is>
          <t>05_Data_Service.js</t>
        </is>
      </c>
      <c r="B16" t="inlineStr">
        <is>
          <t>data_management</t>
        </is>
      </c>
      <c r="C16" t="n">
        <v>185</v>
      </c>
      <c r="D16" t="n">
        <v>8</v>
      </c>
      <c r="E16" t="n">
        <v>26</v>
      </c>
      <c r="F16" t="n">
        <v>0</v>
      </c>
      <c r="G16" t="inlineStr">
        <is>
          <t>SpreadsheetApp, UrlFetchApp, CacheService</t>
        </is>
      </c>
      <c r="H16" t="inlineStr">
        <is>
          <t>05_Data_Service.gs — CAMADA DE DADOS UNIFICADA (v12.0 - SOMENTE BRAPI) ============================================================================= ✅ REMOVIDO: Yahoo Finance (401/403 bloqueado) ✅ PRI</t>
        </is>
      </c>
    </row>
    <row r="17">
      <c r="A17" t="inlineStr">
        <is>
          <t>07_AI_Unified_Connector.js</t>
        </is>
      </c>
      <c r="B17" t="inlineStr">
        <is>
          <t>ai_analysis</t>
        </is>
      </c>
      <c r="C17" t="n">
        <v>305</v>
      </c>
      <c r="D17" t="n">
        <v>4</v>
      </c>
      <c r="E17" t="n">
        <v>38</v>
      </c>
      <c r="F17" t="n">
        <v>0</v>
      </c>
      <c r="G17" t="inlineStr">
        <is>
          <t>UrlFetchApp, CacheService</t>
        </is>
      </c>
      <c r="H17" t="inlineStr">
        <is>
          <t>// 📦 MÓDULO/ARQUIVO: 07_AI_Unified_Connector.js // 🛠️  TECNOLOGIA: JAVASCRIPT // 📌  VERSÃO: 3.4 — DEEPSEEK + FALLBACK COMPLETO RESILIENTE /</t>
        </is>
      </c>
    </row>
    <row r="18">
      <c r="A18" t="inlineStr">
        <is>
          <t>08_AI_Ensemble.js</t>
        </is>
      </c>
      <c r="B18" t="inlineStr">
        <is>
          <t>ai_analysis</t>
        </is>
      </c>
      <c r="C18" t="n">
        <v>673</v>
      </c>
      <c r="D18" t="n">
        <v>17</v>
      </c>
      <c r="E18" t="n">
        <v>126</v>
      </c>
      <c r="F18" t="n">
        <v>0</v>
      </c>
      <c r="G18" t="inlineStr">
        <is>
          <t>UrlFetchApp</t>
        </is>
      </c>
      <c r="H18" t="inlineStr">
        <is>
          <t>08_AI_Ensemble.js ============================================================================= CENTRAL DE INTELIGÊNCIA COLETIVA DE IA (UNIFICADO v10.0) ===============================================</t>
        </is>
      </c>
    </row>
    <row r="19">
      <c r="A19" t="inlineStr">
        <is>
          <t>08_Output_Unified.js</t>
        </is>
      </c>
      <c r="B19" t="inlineStr">
        <is>
          <t>utils</t>
        </is>
      </c>
      <c r="C19" t="n">
        <v>221</v>
      </c>
      <c r="D19" t="n">
        <v>6</v>
      </c>
      <c r="E19" t="n">
        <v>54</v>
      </c>
      <c r="F19" t="n">
        <v>0</v>
      </c>
      <c r="G19" t="inlineStr">
        <is>
          <t>SpreadsheetApp</t>
        </is>
      </c>
      <c r="H19">
        <f>============================================================================ 08_Output_Unified.gs — CENTRAL DE SAÍDA E RELATÓRIOS (v12.0 - MEMORY BUFFER) =============================================</f>
        <v/>
      </c>
    </row>
    <row r="20">
      <c r="A20" t="inlineStr">
        <is>
          <t>10_Data_YahooFetcher.js</t>
        </is>
      </c>
      <c r="B20" t="inlineStr">
        <is>
          <t>data_management</t>
        </is>
      </c>
      <c r="C20" t="n">
        <v>178</v>
      </c>
      <c r="D20" t="n">
        <v>7</v>
      </c>
      <c r="E20" t="n">
        <v>21</v>
      </c>
      <c r="F20" t="n">
        <v>0</v>
      </c>
      <c r="G20" t="inlineStr">
        <is>
          <t>UrlFetchApp</t>
        </is>
      </c>
      <c r="H20" t="inlineStr">
        <is>
          <t>Executa um teste completo das funcionalidades do módulo YahooFetcher. Valida a conexão com o Yahoo e o fallback automático para BRAPI.</t>
        </is>
      </c>
    </row>
    <row r="21">
      <c r="A21" t="inlineStr">
        <is>
          <t>11_Data_AlphaVantageFetcher.js</t>
        </is>
      </c>
      <c r="B21" t="inlineStr">
        <is>
          <t>data_management</t>
        </is>
      </c>
      <c r="C21" t="n">
        <v>141</v>
      </c>
      <c r="D21" t="n">
        <v>5</v>
      </c>
      <c r="E21" t="n">
        <v>19</v>
      </c>
      <c r="F21" t="n">
        <v>0</v>
      </c>
      <c r="G21" t="inlineStr">
        <is>
          <t>UrlFetchApp</t>
        </is>
      </c>
      <c r="H21" t="inlineStr">
        <is>
          <t>11_Data_AlphaVantageFetcher.js — Provedor de Dados Alpha Vantage (v1.0) ============================================================================= ✅ Nova fonte de dados para histórico e cotações. ✅</t>
        </is>
      </c>
    </row>
    <row r="22">
      <c r="A22" t="inlineStr">
        <is>
          <t>12_Indicators_Volume.js</t>
        </is>
      </c>
      <c r="B22" t="inlineStr">
        <is>
          <t>technical_indicators</t>
        </is>
      </c>
      <c r="C22" t="n">
        <v>62</v>
      </c>
      <c r="D22" t="n">
        <v>0</v>
      </c>
      <c r="E22" t="n">
        <v>10</v>
      </c>
      <c r="F22" t="n">
        <v>0</v>
      </c>
      <c r="G22" t="inlineStr"/>
      <c r="H22" t="inlineStr">
        <is>
          <t>12_Indicators_Volume.gs — V10.0 (REFATORAÇÃO MODULAR) ============================================================================= Finalidade: Cálculos avançados de Volume e Fluxo de Dinheiro. Refato</t>
        </is>
      </c>
    </row>
    <row r="23">
      <c r="A23" t="inlineStr">
        <is>
          <t>13_Indicators_RelativeStrength.js</t>
        </is>
      </c>
      <c r="B23" t="inlineStr">
        <is>
          <t>technical_indicators</t>
        </is>
      </c>
      <c r="C23" t="n">
        <v>29</v>
      </c>
      <c r="D23" t="n">
        <v>1</v>
      </c>
      <c r="E23" t="n">
        <v>1</v>
      </c>
      <c r="F23" t="n">
        <v>0</v>
      </c>
      <c r="G23" t="inlineStr"/>
      <c r="H23" t="inlineStr">
        <is>
          <t>Módulo com 1 funções: calculateRS...</t>
        </is>
      </c>
    </row>
    <row r="24">
      <c r="A24" t="inlineStr">
        <is>
          <t>14_Dashboard_PainelMercado.js</t>
        </is>
      </c>
      <c r="B24" t="inlineStr">
        <is>
          <t>ai_analysis</t>
        </is>
      </c>
      <c r="C24" t="n">
        <v>190</v>
      </c>
      <c r="D24" t="n">
        <v>8</v>
      </c>
      <c r="E24" t="n">
        <v>20</v>
      </c>
      <c r="F24" t="n">
        <v>0</v>
      </c>
      <c r="G24" t="inlineStr">
        <is>
          <t>SpreadsheetApp</t>
        </is>
      </c>
      <c r="H24" t="inlineStr">
        <is>
          <t>14_Dashboard_PainelMercado.gs — v14.1 (REFACTORED: PERFORMANCE FIX) ============================================================================= ✅ GESTÃO: Adicionado Bloco de Saúde da Carteira (Lucro</t>
        </is>
      </c>
    </row>
    <row r="25">
      <c r="A25" t="inlineStr">
        <is>
          <t>15_AI_Agentic_Enricher.js</t>
        </is>
      </c>
      <c r="B25" t="inlineStr">
        <is>
          <t>ai_analysis</t>
        </is>
      </c>
      <c r="C25" t="n">
        <v>109</v>
      </c>
      <c r="D25" t="n">
        <v>0</v>
      </c>
      <c r="E25" t="n">
        <v>11</v>
      </c>
      <c r="F25" t="n">
        <v>0</v>
      </c>
      <c r="G25" t="inlineStr">
        <is>
          <t>UrlFetchApp</t>
        </is>
      </c>
      <c r="H25" t="inlineStr">
        <is>
          <t>15_AIAgenticEnricher.gs — v7.0 (INTEGRAÇÃO TOTAL COM CONFIG) ============================================================================= ✅ DINÂMICO: Busca Modelo, Score Mínimo e Chaves via CONFIG.ge</t>
        </is>
      </c>
    </row>
    <row r="26">
      <c r="A26" t="inlineStr">
        <is>
          <t>17_Notification_Manager.js</t>
        </is>
      </c>
      <c r="B26" t="inlineStr">
        <is>
          <t>data_management</t>
        </is>
      </c>
      <c r="C26" t="n">
        <v>187</v>
      </c>
      <c r="D26" t="n">
        <v>7</v>
      </c>
      <c r="E26" t="n">
        <v>13</v>
      </c>
      <c r="F26" t="n">
        <v>0</v>
      </c>
      <c r="G26" t="inlineStr">
        <is>
          <t>SpreadsheetApp, UrlFetchApp</t>
        </is>
      </c>
      <c r="H26" t="inlineStr">
        <is>
          <t>17_Notification_Manager.gs — v7.6 (INTELLIGENCE &amp; AGENTIC) ============================================================================= ✅ RÓTULOS: Alterado de "P/L" para "LUCRO ATUAL" para evitar con</t>
        </is>
      </c>
    </row>
    <row r="27">
      <c r="A27" t="inlineStr">
        <is>
          <t>20_Compliance_Unified.js</t>
        </is>
      </c>
      <c r="B27" t="inlineStr">
        <is>
          <t>utils</t>
        </is>
      </c>
      <c r="C27" t="n">
        <v>74</v>
      </c>
      <c r="D27" t="n">
        <v>2</v>
      </c>
      <c r="E27" t="n">
        <v>11</v>
      </c>
      <c r="F27" t="n">
        <v>0</v>
      </c>
      <c r="G27" t="inlineStr">
        <is>
          <t>SpreadsheetApp</t>
        </is>
      </c>
      <c r="H27" t="inlineStr">
        <is>
          <t>20_Compliance_Unified.gs — V5.0 (MODULAR &amp; SNIPER COMPLIANT) ============================================================================= Finalidade: Guardião de regras, horários e travas de risco. R</t>
        </is>
      </c>
    </row>
    <row r="28">
      <c r="A28" t="inlineStr">
        <is>
          <t>21_Tax_Calculator.js</t>
        </is>
      </c>
      <c r="B28" t="inlineStr">
        <is>
          <t>utils</t>
        </is>
      </c>
      <c r="C28" t="n">
        <v>242</v>
      </c>
      <c r="D28" t="n">
        <v>1</v>
      </c>
      <c r="E28" t="n">
        <v>44</v>
      </c>
      <c r="F28" t="n">
        <v>0</v>
      </c>
      <c r="G28" t="inlineStr">
        <is>
          <t>SpreadsheetApp</t>
        </is>
      </c>
      <c r="H28">
        <f>============================================================================ 21_Tax_Calculator.gs — MOTOR CONTÁBIL &amp; DISTRIBUIDOR FISCAL (V3.1) =======================================================</f>
        <v/>
      </c>
    </row>
    <row r="29">
      <c r="A29" t="inlineStr">
        <is>
          <t>22_Core_Analyzers.js</t>
        </is>
      </c>
      <c r="B29" t="inlineStr">
        <is>
          <t>core_orchestration</t>
        </is>
      </c>
      <c r="C29" t="n">
        <v>753</v>
      </c>
      <c r="D29" t="n">
        <v>25</v>
      </c>
      <c r="E29" t="n">
        <v>204</v>
      </c>
      <c r="F29" t="n">
        <v>0</v>
      </c>
      <c r="G29" t="inlineStr"/>
      <c r="H29" t="inlineStr">
        <is>
          <t>Módulo com 25 funções: STRATEGY_EVALUATE_CORE, _obterContextoPrecos, _calcularIndicadoresTecnicos...</t>
        </is>
      </c>
    </row>
    <row r="30">
      <c r="A30" t="inlineStr">
        <is>
          <t>23_Pivot_Fibonacci.js</t>
        </is>
      </c>
      <c r="B30" t="inlineStr">
        <is>
          <t>utils</t>
        </is>
      </c>
      <c r="C30" t="n">
        <v>103</v>
      </c>
      <c r="D30" t="n">
        <v>6</v>
      </c>
      <c r="E30" t="n">
        <v>8</v>
      </c>
      <c r="F30" t="n">
        <v>0</v>
      </c>
      <c r="G30" t="inlineStr"/>
      <c r="H30">
        <f>============================================================================ 23_Pivot_Fibonacci.gs — Indicadores de Pivô e Fibonacci (OTIMIZADO) ======================================================</f>
        <v/>
      </c>
    </row>
    <row r="31">
      <c r="A31" t="inlineStr">
        <is>
          <t>24_Secrets_Manager.js</t>
        </is>
      </c>
      <c r="B31" t="inlineStr">
        <is>
          <t>data_management</t>
        </is>
      </c>
      <c r="C31" t="n">
        <v>100</v>
      </c>
      <c r="D31" t="n">
        <v>5</v>
      </c>
      <c r="E31" t="n">
        <v>14</v>
      </c>
      <c r="F31" t="n">
        <v>0</v>
      </c>
      <c r="G31" t="inlineStr">
        <is>
          <t>UrlFetchApp</t>
        </is>
      </c>
      <c r="H31">
        <f>============================================================================ 24_Secrets_Manager.gs — Gestão Avançada de Chaves (GCP + Fallback) =======================================================</f>
        <v/>
      </c>
    </row>
    <row r="32">
      <c r="A32" t="inlineStr">
        <is>
          <t>25_Fundamentalist_Engine.js</t>
        </is>
      </c>
      <c r="B32" t="inlineStr">
        <is>
          <t>utils</t>
        </is>
      </c>
      <c r="C32" t="n">
        <v>24</v>
      </c>
      <c r="D32" t="n">
        <v>1</v>
      </c>
      <c r="E32" t="n">
        <v>9</v>
      </c>
      <c r="F32" t="n">
        <v>0</v>
      </c>
      <c r="G32" t="inlineStr"/>
      <c r="H32" t="inlineStr">
        <is>
          <t>25_Fundamentalist_Engine.gs Especialista em Valuation e Margem de Segurança</t>
        </is>
      </c>
    </row>
    <row r="33">
      <c r="A33" t="inlineStr">
        <is>
          <t>26_Data_BrapiFetcher.js</t>
        </is>
      </c>
      <c r="B33" t="inlineStr">
        <is>
          <t>data_management</t>
        </is>
      </c>
      <c r="C33" t="n">
        <v>123</v>
      </c>
      <c r="D33" t="n">
        <v>6</v>
      </c>
      <c r="E33" t="n">
        <v>21</v>
      </c>
      <c r="F33" t="n">
        <v>0</v>
      </c>
      <c r="G33" t="inlineStr">
        <is>
          <t>UrlFetchApp, CacheService</t>
        </is>
      </c>
      <c r="H33" t="inlineStr">
        <is>
          <t>Módulo com 6 funções: _getToken, _waitIfNeeded, _fetchWithCache...</t>
        </is>
      </c>
    </row>
    <row r="34">
      <c r="A34" t="inlineStr">
        <is>
          <t>27_Abas_Cabecalhos.js</t>
        </is>
      </c>
      <c r="B34" t="inlineStr">
        <is>
          <t>utils</t>
        </is>
      </c>
      <c r="C34" t="n">
        <v>230</v>
      </c>
      <c r="D34" t="n">
        <v>6</v>
      </c>
      <c r="E34" t="n">
        <v>35</v>
      </c>
      <c r="F34" t="n">
        <v>1</v>
      </c>
      <c r="G34" t="inlineStr">
        <is>
          <t>SpreadsheetApp</t>
        </is>
      </c>
      <c r="H34" t="inlineStr">
        <is>
          <t>27_Abas_Cabecalhos.gs - Versão com Fórmulas como Texto EXIBE: - Todas as fórmulas como TEXTO PLANO (não executáveis) - Links também como texto (opcional)</t>
        </is>
      </c>
    </row>
    <row r="35">
      <c r="A35" t="inlineStr">
        <is>
          <t>28_ativarEnforcement.js</t>
        </is>
      </c>
      <c r="B35" t="inlineStr">
        <is>
          <t>utils</t>
        </is>
      </c>
      <c r="C35" t="n">
        <v>60</v>
      </c>
      <c r="D35" t="n">
        <v>4</v>
      </c>
      <c r="E35" t="n">
        <v>1</v>
      </c>
      <c r="F35" t="n">
        <v>0</v>
      </c>
      <c r="G35" t="inlineStr"/>
      <c r="H35" t="inlineStr">
        <is>
          <t>Módulo com 4 funções: ativarEnforcementProducao, executarAnaliseReal, configurarProducao...</t>
        </is>
      </c>
    </row>
    <row r="36">
      <c r="A36" t="inlineStr">
        <is>
          <t>29_Oportunidades_Processor.js</t>
        </is>
      </c>
      <c r="B36" t="inlineStr">
        <is>
          <t>utils</t>
        </is>
      </c>
      <c r="C36" t="n">
        <v>170</v>
      </c>
      <c r="D36" t="n">
        <v>1</v>
      </c>
      <c r="E36" t="n">
        <v>15</v>
      </c>
      <c r="F36" t="n">
        <v>1</v>
      </c>
      <c r="G36" t="inlineStr">
        <is>
          <t>SpreadsheetApp</t>
        </is>
      </c>
      <c r="H36" t="inlineStr">
        <is>
          <t>29_Oportunidades_Processor.gs — V4.0 (ENCAPSULATED &amp; CLEAN) ============================================================================= ✅ RESPONSABILIDADE: Ler "Resultados_Analise", consolidar por T</t>
        </is>
      </c>
    </row>
    <row r="37">
      <c r="A37" t="inlineStr">
        <is>
          <t>30_DARF_Generator.js</t>
        </is>
      </c>
      <c r="B37" t="inlineStr">
        <is>
          <t>trading_logic</t>
        </is>
      </c>
      <c r="C37" t="n">
        <v>157</v>
      </c>
      <c r="D37" t="n">
        <v>7</v>
      </c>
      <c r="E37" t="n">
        <v>21</v>
      </c>
      <c r="F37" t="n">
        <v>0</v>
      </c>
      <c r="G37" t="inlineStr">
        <is>
          <t>SpreadsheetApp</t>
        </is>
      </c>
      <c r="H37">
        <f>============================================================================ 30_DARF_Generator.gs — PAINEL FISCAL &amp; INTERFACE (V2.1) ==================================================================</f>
        <v/>
      </c>
    </row>
    <row r="38">
      <c r="A38" t="inlineStr">
        <is>
          <t>30_Portfolio_Unified.js</t>
        </is>
      </c>
      <c r="B38" t="inlineStr">
        <is>
          <t>trading_logic</t>
        </is>
      </c>
      <c r="C38" t="n">
        <v>61</v>
      </c>
      <c r="D38" t="n">
        <v>1</v>
      </c>
      <c r="E38" t="n">
        <v>14</v>
      </c>
      <c r="F38" t="n">
        <v>0</v>
      </c>
      <c r="G38" t="inlineStr">
        <is>
          <t>SpreadsheetApp</t>
        </is>
      </c>
      <c r="H38" t="inlineStr">
        <is>
          <t>Módulo com 1 funções: syncPortfolio...</t>
        </is>
      </c>
    </row>
    <row r="39">
      <c r="A39" t="inlineStr">
        <is>
          <t>31_Portfolio_Rebalancer.js</t>
        </is>
      </c>
      <c r="B39" t="inlineStr">
        <is>
          <t>trading_logic</t>
        </is>
      </c>
      <c r="C39" t="n">
        <v>113</v>
      </c>
      <c r="D39" t="n">
        <v>2</v>
      </c>
      <c r="E39" t="n">
        <v>17</v>
      </c>
      <c r="F39" t="n">
        <v>0</v>
      </c>
      <c r="G39" t="inlineStr">
        <is>
          <t>SpreadsheetApp</t>
        </is>
      </c>
      <c r="H39" t="inlineStr">
        <is>
          <t xml:space="preserve">31_Portfolio_Rebalancer.gs — v6.0 (SINCRONIA TOTAL DE ALVOS E STOPS) ============================================================================= Finalidade: Cruzar a Carteira Real com a Recomendada </t>
        </is>
      </c>
    </row>
    <row r="40">
      <c r="A40" t="inlineStr">
        <is>
          <t>32_Automacao_Setup.js</t>
        </is>
      </c>
      <c r="B40" t="inlineStr">
        <is>
          <t>config_setup</t>
        </is>
      </c>
      <c r="C40" t="n">
        <v>42</v>
      </c>
      <c r="D40" t="n">
        <v>2</v>
      </c>
      <c r="E40" t="n">
        <v>1</v>
      </c>
      <c r="F40" t="n">
        <v>0</v>
      </c>
      <c r="G40" t="inlineStr">
        <is>
          <t>SpreadsheetApp</t>
        </is>
      </c>
      <c r="H40">
        <f>============================================================================ 32_Automacao_Setup.gs — O MAESTRO DA AUTOMAÇÃO B3-v10 ====================================================================</f>
        <v/>
      </c>
    </row>
    <row r="41">
      <c r="A41" t="inlineStr">
        <is>
          <t>33_Data_SheetManager.js</t>
        </is>
      </c>
      <c r="B41" t="inlineStr">
        <is>
          <t>data_management</t>
        </is>
      </c>
      <c r="C41" t="n">
        <v>70</v>
      </c>
      <c r="D41" t="n">
        <v>1</v>
      </c>
      <c r="E41" t="n">
        <v>12</v>
      </c>
      <c r="F41" t="n">
        <v>0</v>
      </c>
      <c r="G41" t="inlineStr">
        <is>
          <t>SpreadsheetApp</t>
        </is>
      </c>
      <c r="H41" t="inlineStr">
        <is>
          <t>Aplica regras de cores baseadas no Setup para facilitar a leitura rápida</t>
        </is>
      </c>
    </row>
    <row r="42">
      <c r="A42" t="inlineStr">
        <is>
          <t>34_AI_Logic.js</t>
        </is>
      </c>
      <c r="B42" t="inlineStr">
        <is>
          <t>ai_analysis</t>
        </is>
      </c>
      <c r="C42" t="n">
        <v>121</v>
      </c>
      <c r="D42" t="n">
        <v>0</v>
      </c>
      <c r="E42" t="n">
        <v>16</v>
      </c>
      <c r="F42" t="n">
        <v>0</v>
      </c>
      <c r="G42" t="inlineStr"/>
      <c r="H42" t="inlineStr">
        <is>
          <t>Sem descrição detectada.</t>
        </is>
      </c>
    </row>
    <row r="43">
      <c r="A43" t="inlineStr">
        <is>
          <t>34_AI_Prompts.js</t>
        </is>
      </c>
      <c r="B43" t="inlineStr">
        <is>
          <t>ai_analysis</t>
        </is>
      </c>
      <c r="C43" t="n">
        <v>72</v>
      </c>
      <c r="D43" t="n">
        <v>2</v>
      </c>
      <c r="E43" t="n">
        <v>0</v>
      </c>
      <c r="F43" t="n">
        <v>0</v>
      </c>
      <c r="G43" t="inlineStr"/>
      <c r="H43">
        <f>============================================================================ 34_AI_Prompts.gs — Configurações, Constantes e Estado ====================================================================</f>
        <v/>
      </c>
    </row>
    <row r="44">
      <c r="A44" t="inlineStr">
        <is>
          <t>34_AI_Service.js</t>
        </is>
      </c>
      <c r="B44" t="inlineStr">
        <is>
          <t>ai_analysis</t>
        </is>
      </c>
      <c r="C44" t="n">
        <v>98</v>
      </c>
      <c r="D44" t="n">
        <v>0</v>
      </c>
      <c r="E44" t="n">
        <v>21</v>
      </c>
      <c r="F44" t="n">
        <v>0</v>
      </c>
      <c r="G44" t="inlineStr"/>
      <c r="H44" t="inlineStr">
        <is>
          <t>34_AI_Service.gs — V6.1 (ORQUESTRAÇÃO MODULAR + ADX + BOLLINGER) ============================================================================= Finalidade: Controlador central de Inteligência e Diagnós</t>
        </is>
      </c>
    </row>
    <row r="45">
      <c r="A45" t="inlineStr">
        <is>
          <t>34_DecisionEngine.js</t>
        </is>
      </c>
      <c r="B45" t="inlineStr">
        <is>
          <t>ai_analysis</t>
        </is>
      </c>
      <c r="C45" t="n">
        <v>222</v>
      </c>
      <c r="D45" t="n">
        <v>8</v>
      </c>
      <c r="E45" t="n">
        <v>38</v>
      </c>
      <c r="F45" t="n">
        <v>0</v>
      </c>
      <c r="G45" t="inlineStr"/>
      <c r="H45" t="inlineStr">
        <is>
          <t>Módulo com 8 funções: _cfg, _clampScore, _normalizeSentiment...</t>
        </is>
      </c>
    </row>
    <row r="46">
      <c r="A46" t="inlineStr">
        <is>
          <t>35_Agent_Orchestrator.js</t>
        </is>
      </c>
      <c r="B46" t="inlineStr">
        <is>
          <t>core_orchestration</t>
        </is>
      </c>
      <c r="C46" t="n">
        <v>141</v>
      </c>
      <c r="D46" t="n">
        <v>12</v>
      </c>
      <c r="E46" t="n">
        <v>26</v>
      </c>
      <c r="F46" t="n">
        <v>0</v>
      </c>
      <c r="G46" t="inlineStr"/>
      <c r="H46" t="inlineStr">
        <is>
          <t>Módulo com 12 funções: _cfg, _scoreMinimo, _normalizeSentiment...</t>
        </is>
      </c>
    </row>
    <row r="47">
      <c r="A47" t="inlineStr">
        <is>
          <t>36_Agent_Analyst.js</t>
        </is>
      </c>
      <c r="B47" t="inlineStr">
        <is>
          <t>ai_analysis</t>
        </is>
      </c>
      <c r="C47" t="n">
        <v>130</v>
      </c>
      <c r="D47" t="n">
        <v>1</v>
      </c>
      <c r="E47" t="n">
        <v>8</v>
      </c>
      <c r="F47" t="n">
        <v>0</v>
      </c>
      <c r="G47" t="inlineStr"/>
      <c r="H47" t="inlineStr">
        <is>
          <t>Módulo com 1 funções: _sanitizarMemoria...</t>
        </is>
      </c>
    </row>
    <row r="48">
      <c r="A48" t="inlineStr">
        <is>
          <t>37_Agent_RiskManager.js</t>
        </is>
      </c>
      <c r="B48" t="inlineStr">
        <is>
          <t>data_management</t>
        </is>
      </c>
      <c r="C48" t="n">
        <v>94</v>
      </c>
      <c r="D48" t="n">
        <v>1</v>
      </c>
      <c r="E48" t="n">
        <v>13</v>
      </c>
      <c r="F48" t="n">
        <v>0</v>
      </c>
      <c r="G48" t="inlineStr">
        <is>
          <t>SpreadsheetApp</t>
        </is>
      </c>
      <c r="H48" t="inlineStr">
        <is>
          <t xml:space="preserve">37_Agent_RiskManager.gs — GESTOR INTEGRADO DE RISCO E PORTFÓLIO V5.0 ============================================================================= ✅ PAPEL: Filtro final de decisão. Valida correlação, </t>
        </is>
      </c>
    </row>
    <row r="49">
      <c r="A49" t="inlineStr">
        <is>
          <t>38_Agent_Memory.js</t>
        </is>
      </c>
      <c r="B49" t="inlineStr">
        <is>
          <t>ai_analysis</t>
        </is>
      </c>
      <c r="C49" t="n">
        <v>233</v>
      </c>
      <c r="D49" t="n">
        <v>7</v>
      </c>
      <c r="E49" t="n">
        <v>37</v>
      </c>
      <c r="F49" t="n">
        <v>0</v>
      </c>
      <c r="G49" t="inlineStr">
        <is>
          <t>SpreadsheetApp</t>
        </is>
      </c>
      <c r="H49" t="inlineStr">
        <is>
          <t>Módulo com 7 funções: _cfg, getContext, _classifyDrawdown...</t>
        </is>
      </c>
    </row>
    <row r="50">
      <c r="A50" t="inlineStr">
        <is>
          <t>39_Code_Scanner.js</t>
        </is>
      </c>
      <c r="B50" t="inlineStr">
        <is>
          <t>utils</t>
        </is>
      </c>
      <c r="C50" t="n">
        <v>191</v>
      </c>
      <c r="D50" t="n">
        <v>8</v>
      </c>
      <c r="E50" t="n">
        <v>12</v>
      </c>
      <c r="F50" t="n">
        <v>0</v>
      </c>
      <c r="G50" t="inlineStr">
        <is>
          <t>SpreadsheetApp, UrlFetchApp</t>
        </is>
      </c>
      <c r="H50" t="inlineStr">
        <is>
          <t>Detecta automaticamente o uso de funções legadas (como fetchCandles) e sugere a migração para métodos modernos (getHistory), garantindo a evolução do sistema. [5]</t>
        </is>
      </c>
    </row>
    <row r="51">
      <c r="A51" t="inlineStr">
        <is>
          <t>41_Ranker.js</t>
        </is>
      </c>
      <c r="B51" t="inlineStr">
        <is>
          <t>trading_logic</t>
        </is>
      </c>
      <c r="C51" t="n">
        <v>220</v>
      </c>
      <c r="D51" t="n">
        <v>5</v>
      </c>
      <c r="E51" t="n">
        <v>47</v>
      </c>
      <c r="F51" t="n">
        <v>0</v>
      </c>
      <c r="G51" t="inlineStr">
        <is>
          <t>SpreadsheetApp</t>
        </is>
      </c>
      <c r="H51" t="inlineStr">
        <is>
          <t>✅ CORREÇÃO: Mapeamento de colunas sincronizado com o Módulo 08 (v10.7). ✅ FIX: R/R agora aponta para o Índice 9 (Coluna J), corrigindo o valor "0". ✅ INTEGRADO: Position Sizing baseado no Risco por Tr</t>
        </is>
      </c>
    </row>
    <row r="52">
      <c r="A52" t="inlineStr">
        <is>
          <t>42_HistoricalContext.js</t>
        </is>
      </c>
      <c r="B52" t="inlineStr">
        <is>
          <t>utils</t>
        </is>
      </c>
      <c r="C52" t="n">
        <v>82</v>
      </c>
      <c r="D52" t="n">
        <v>0</v>
      </c>
      <c r="E52" t="n">
        <v>12</v>
      </c>
      <c r="F52" t="n">
        <v>1</v>
      </c>
      <c r="G52" t="inlineStr">
        <is>
          <t>SpreadsheetApp, CacheService</t>
        </is>
      </c>
      <c r="H52" t="inlineStr">
        <is>
          <t>42_HistoricalContext.gs</t>
        </is>
      </c>
    </row>
    <row r="53">
      <c r="A53" t="inlineStr">
        <is>
          <t>46_Debug_System.js</t>
        </is>
      </c>
      <c r="B53" t="inlineStr">
        <is>
          <t>utils</t>
        </is>
      </c>
      <c r="C53" t="n">
        <v>104</v>
      </c>
      <c r="D53" t="n">
        <v>4</v>
      </c>
      <c r="E53" t="n">
        <v>14</v>
      </c>
      <c r="F53" t="n">
        <v>0</v>
      </c>
      <c r="G53" t="inlineStr"/>
      <c r="H53">
        <f>============================================================================ 46_Debug_System.gs — Diagnóstico Dedicado (Versão Core Analyzers) ========================================================</f>
        <v/>
      </c>
    </row>
    <row r="54">
      <c r="A54" t="inlineStr">
        <is>
          <t>47_Automacao_Triggers.js</t>
        </is>
      </c>
      <c r="B54" t="inlineStr">
        <is>
          <t>utils</t>
        </is>
      </c>
      <c r="C54" t="n">
        <v>88</v>
      </c>
      <c r="D54" t="n">
        <v>3</v>
      </c>
      <c r="E54" t="n">
        <v>5</v>
      </c>
      <c r="F54" t="n">
        <v>0</v>
      </c>
      <c r="G54" t="inlineStr">
        <is>
          <t>SpreadsheetApp</t>
        </is>
      </c>
      <c r="H54">
        <f>============================================================================ 47_Automacao_Triggers.gs — GESTÃO AGÊNTICA DE GATILHOS (v12.0) ===========================================================</f>
        <v/>
      </c>
    </row>
    <row r="55">
      <c r="A55" t="inlineStr">
        <is>
          <t>48_Health_Check.js</t>
        </is>
      </c>
      <c r="B55" t="inlineStr">
        <is>
          <t>utils</t>
        </is>
      </c>
      <c r="C55" t="n">
        <v>40</v>
      </c>
      <c r="D55" t="n">
        <v>1</v>
      </c>
      <c r="E55" t="n">
        <v>3</v>
      </c>
      <c r="F55" t="n">
        <v>0</v>
      </c>
      <c r="G55" t="inlineStr"/>
      <c r="H55">
        <f>============================================================================ 48_Health_Check.gs — MONITOR DE INTEGRIDADE (v10) ========================================================================</f>
        <v/>
      </c>
    </row>
    <row r="56">
      <c r="A56" t="inlineStr">
        <is>
          <t>50_preMarketAnalysis.js</t>
        </is>
      </c>
      <c r="B56" t="inlineStr">
        <is>
          <t>utils</t>
        </is>
      </c>
      <c r="C56" t="n">
        <v>157</v>
      </c>
      <c r="D56" t="n">
        <v>3</v>
      </c>
      <c r="E56" t="n">
        <v>13</v>
      </c>
      <c r="F56" t="n">
        <v>0</v>
      </c>
      <c r="G56" t="inlineStr">
        <is>
          <t>SpreadsheetApp</t>
        </is>
      </c>
      <c r="H56">
        <f>============================================================================ 50_preMarketAnalysis.gs — v5.1 (SNIPER EDITION FIXED) ====================================================================</f>
        <v/>
      </c>
    </row>
    <row r="57">
      <c r="A57" t="inlineStr">
        <is>
          <t>51_SecureKeyService.js</t>
        </is>
      </c>
      <c r="B57" t="inlineStr">
        <is>
          <t>security</t>
        </is>
      </c>
      <c r="C57" t="n">
        <v>81</v>
      </c>
      <c r="D57" t="n">
        <v>0</v>
      </c>
      <c r="E57" t="n">
        <v>2</v>
      </c>
      <c r="F57" t="n">
        <v>0</v>
      </c>
      <c r="G57" t="inlineStr">
        <is>
          <t>SpreadsheetApp</t>
        </is>
      </c>
      <c r="H57" t="inlineStr">
        <is>
          <t>51_SecureKeyService.gs — v3.0 (DIAGNÓSTICO VISUAL) ============================================================================= ✅ CONEXÃO TOTAL: Lê as senhas das Propriedades do Script. ✅ RELATÓRIO H</t>
        </is>
      </c>
    </row>
    <row r="58">
      <c r="A58" t="inlineStr">
        <is>
          <t>51_Sentinela_Gringo.js</t>
        </is>
      </c>
      <c r="B58" t="inlineStr">
        <is>
          <t>security</t>
        </is>
      </c>
      <c r="C58" t="n">
        <v>205</v>
      </c>
      <c r="D58" t="n">
        <v>4</v>
      </c>
      <c r="E58" t="n">
        <v>18</v>
      </c>
      <c r="F58" t="n">
        <v>0</v>
      </c>
      <c r="G58" t="inlineStr">
        <is>
          <t>SpreadsheetApp, UrlFetchApp</t>
        </is>
      </c>
      <c r="H58">
        <f>============================================================================ 51_Sentinela_Gringo.gs — v1.1 (ADR &amp; PRE-MARKET MONITOR) =================================================================</f>
        <v/>
      </c>
    </row>
    <row r="59">
      <c r="A59" t="inlineStr">
        <is>
          <t>52_Performance_Manager.js</t>
        </is>
      </c>
      <c r="B59" t="inlineStr">
        <is>
          <t>data_management</t>
        </is>
      </c>
      <c r="C59" t="n">
        <v>254</v>
      </c>
      <c r="D59" t="n">
        <v>10</v>
      </c>
      <c r="E59" t="n">
        <v>33</v>
      </c>
      <c r="F59" t="n">
        <v>0</v>
      </c>
      <c r="G59" t="inlineStr">
        <is>
          <t>SpreadsheetApp</t>
        </is>
      </c>
      <c r="H59" t="inlineStr">
        <is>
          <t>Módulo com 10 funções: converterParaNumero, encontrarIndiceColuna, lerNotas...</t>
        </is>
      </c>
    </row>
    <row r="60">
      <c r="A60" t="inlineStr">
        <is>
          <t>53_CandlePatternScanner.js</t>
        </is>
      </c>
      <c r="B60" t="inlineStr">
        <is>
          <t>utils</t>
        </is>
      </c>
      <c r="C60" t="n">
        <v>46</v>
      </c>
      <c r="D60" t="n">
        <v>0</v>
      </c>
      <c r="E60" t="n">
        <v>15</v>
      </c>
      <c r="F60" t="n">
        <v>0</v>
      </c>
      <c r="G60" t="inlineStr"/>
      <c r="H60" t="inlineStr">
        <is>
          <t>53_CandlePatternScanner.gs — Motor de Price Action B3 ============================================================================= ✅ AUTONOMIA: Detecta padrões de alta probabilidade para o mercado br</t>
        </is>
      </c>
    </row>
    <row r="61">
      <c r="A61" t="inlineStr">
        <is>
          <t>54_Dashboard_Anual.js</t>
        </is>
      </c>
      <c r="B61" t="inlineStr">
        <is>
          <t>utils</t>
        </is>
      </c>
      <c r="C61" t="n">
        <v>67</v>
      </c>
      <c r="D61" t="n">
        <v>1</v>
      </c>
      <c r="E61" t="n">
        <v>13</v>
      </c>
      <c r="F61" t="n">
        <v>0</v>
      </c>
      <c r="G61" t="inlineStr">
        <is>
          <t>SpreadsheetApp</t>
        </is>
      </c>
      <c r="H61">
        <f>======================================================================== // 54_Dashboard_Anual.gs  --  MOTOR DE INTELIGÊNCIA: HISTÓRICO ANUAL (2019 - 2026) // ========================================</f>
        <v/>
      </c>
    </row>
    <row r="62">
      <c r="A62" t="inlineStr">
        <is>
          <t>55_AI_Ensemble.js</t>
        </is>
      </c>
      <c r="B62" t="inlineStr">
        <is>
          <t>ai_analysis</t>
        </is>
      </c>
      <c r="C62" t="n">
        <v>15</v>
      </c>
      <c r="D62" t="n">
        <v>0</v>
      </c>
      <c r="E62" t="n">
        <v>0</v>
      </c>
      <c r="F62" t="n">
        <v>0</v>
      </c>
      <c r="G62" t="inlineStr"/>
      <c r="H62" t="inlineStr">
        <is>
          <t>55_AI_Ensemble.js ============================================================================= PONTE DE COMPATIBILIDADE (UNIFICADO v10.0) =============================================================</t>
        </is>
      </c>
    </row>
    <row r="63">
      <c r="A63" t="inlineStr">
        <is>
          <t>56_MacroFetcher.js</t>
        </is>
      </c>
      <c r="B63" t="inlineStr">
        <is>
          <t>api_fetchers</t>
        </is>
      </c>
      <c r="C63" t="n">
        <v>141</v>
      </c>
      <c r="D63" t="n">
        <v>9</v>
      </c>
      <c r="E63" t="n">
        <v>15</v>
      </c>
      <c r="F63" t="n">
        <v>0</v>
      </c>
      <c r="G63" t="inlineStr">
        <is>
          <t>UrlFetchApp, CacheService</t>
        </is>
      </c>
      <c r="H63" t="inlineStr">
        <is>
          <t>56_MacroFetcher.js — VERSÃO FINAL ESTÁVEL ------------------------------------------------------------- ✔ APIs confiáveis (BCB + Yahoo) ✔ Proteção contra XML / erro ✔ Regime unificado (NEUTRAL / BEARI</t>
        </is>
      </c>
    </row>
    <row r="64">
      <c r="A64" t="inlineStr">
        <is>
          <t>57_Copilot_Webhook.js</t>
        </is>
      </c>
      <c r="B64" t="inlineStr">
        <is>
          <t>utils</t>
        </is>
      </c>
      <c r="C64" t="n">
        <v>71</v>
      </c>
      <c r="D64" t="n">
        <v>2</v>
      </c>
      <c r="E64" t="n">
        <v>6</v>
      </c>
      <c r="F64" t="n">
        <v>0</v>
      </c>
      <c r="G64" t="inlineStr">
        <is>
          <t>UrlFetchApp</t>
        </is>
      </c>
      <c r="H64" t="inlineStr">
        <is>
          <t>57_Copilot_Webhook.js — Integração com Copilot (CORRIGIDO) Versão 2.0 - Com validações de segurança</t>
        </is>
      </c>
    </row>
    <row r="65">
      <c r="A65" t="inlineStr">
        <is>
          <t>58_AI_Monitor.js</t>
        </is>
      </c>
      <c r="B65" t="inlineStr">
        <is>
          <t>ai_analysis</t>
        </is>
      </c>
      <c r="C65" t="n">
        <v>34</v>
      </c>
      <c r="D65" t="n">
        <v>3</v>
      </c>
      <c r="E65" t="n">
        <v>1</v>
      </c>
      <c r="F65" t="n">
        <v>0</v>
      </c>
      <c r="G65" t="inlineStr">
        <is>
          <t>SpreadsheetApp</t>
        </is>
      </c>
      <c r="H65" t="inlineStr">
        <is>
          <t>DASHBOARD DE MONITORAMENTO DAS IAs //58_AL_Monitor.gs</t>
        </is>
      </c>
    </row>
    <row r="66">
      <c r="A66" t="inlineStr">
        <is>
          <t>59_Simulation_Manager.js</t>
        </is>
      </c>
      <c r="B66" t="inlineStr">
        <is>
          <t>data_management</t>
        </is>
      </c>
      <c r="C66" t="n">
        <v>192</v>
      </c>
      <c r="D66" t="n">
        <v>8</v>
      </c>
      <c r="E66" t="n">
        <v>22</v>
      </c>
      <c r="F66" t="n">
        <v>1</v>
      </c>
      <c r="G66" t="inlineStr">
        <is>
          <t>SpreadsheetApp</t>
        </is>
      </c>
      <c r="H66" t="inlineStr">
        <is>
          <t>59_Simulation_Manager.gs — MOTOR DE PAPER TRADING (v1.0) ============================================================================= ✅ PAPEL: Simular a execução de TODOS os trades aprovados pelo Sen</t>
        </is>
      </c>
    </row>
    <row r="67">
      <c r="A67" t="inlineStr">
        <is>
          <t>99_Debug_Unified.js</t>
        </is>
      </c>
      <c r="B67" t="inlineStr">
        <is>
          <t>utils</t>
        </is>
      </c>
      <c r="C67" t="n">
        <v>90</v>
      </c>
      <c r="D67" t="n">
        <v>2</v>
      </c>
      <c r="E67" t="n">
        <v>10</v>
      </c>
      <c r="F67" t="n">
        <v>0</v>
      </c>
      <c r="G67" t="inlineStr">
        <is>
          <t>UrlFetchApp</t>
        </is>
      </c>
      <c r="H67">
        <f>============================================================================ 99_Debug_Unified.gs — v4.0 (LÓGICA PURA) ============================================================================= ⚠️ </f>
        <v/>
      </c>
    </row>
    <row r="68">
      <c r="A68" t="inlineStr">
        <is>
          <t>TESTE_RapidAPI.js</t>
        </is>
      </c>
      <c r="B68" t="inlineStr">
        <is>
          <t>utils</t>
        </is>
      </c>
      <c r="C68" t="n">
        <v>97</v>
      </c>
      <c r="D68" t="n">
        <v>2</v>
      </c>
      <c r="E68" t="n">
        <v>8</v>
      </c>
      <c r="F68" t="n">
        <v>0</v>
      </c>
      <c r="G68" t="inlineStr">
        <is>
          <t>SpreadsheetApp, UrlFetchApp</t>
        </is>
      </c>
      <c r="H68" t="inlineStr">
        <is>
          <t>Função para validar a conexão com a RapidAPI. Use para verificar se o Host e a Key estão corretos sem precisar rodar o robô inteiro.</t>
        </is>
      </c>
    </row>
    <row r="69">
      <c r="A69" t="inlineStr">
        <is>
          <t>VerificarFunciona.js</t>
        </is>
      </c>
      <c r="B69" t="inlineStr">
        <is>
          <t>utils</t>
        </is>
      </c>
      <c r="C69" t="n">
        <v>352</v>
      </c>
      <c r="D69" t="n">
        <v>9</v>
      </c>
      <c r="E69" t="n">
        <v>41</v>
      </c>
      <c r="F69" t="n">
        <v>0</v>
      </c>
      <c r="G69" t="inlineStr">
        <is>
          <t>SpreadsheetApp, UrlFetchApp</t>
        </is>
      </c>
      <c r="H69" t="inlineStr">
        <is>
          <t>🚀 SIMULAÇÃO ESTRATÉGICA: Cenário BULLISH Força o regime de mercado para BULLISH e ignora travas de horário para verificar a sensibilidade de aprovação do robô.</t>
        </is>
      </c>
    </row>
    <row r="70">
      <c r="A70" t="inlineStr">
        <is>
          <t>WebApp.js</t>
        </is>
      </c>
      <c r="B70" t="inlineStr">
        <is>
          <t>utils</t>
        </is>
      </c>
      <c r="C70" t="n">
        <v>90</v>
      </c>
      <c r="D70" t="n">
        <v>6</v>
      </c>
      <c r="E70" t="n">
        <v>9</v>
      </c>
      <c r="F70" t="n">
        <v>0</v>
      </c>
      <c r="G70" t="inlineStr">
        <is>
          <t>SpreadsheetApp</t>
        </is>
      </c>
      <c r="H70" t="inlineStr">
        <is>
          <t>WebApp.js — Dashboard Sniper 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2026-06-18T23:58:56Z</dcterms:created>
  <dcterms:modified xsi:type="dcterms:W3CDTF">2026-06-18T23:58:56Z</dcterms:modified>
</cp:coreProperties>
</file>